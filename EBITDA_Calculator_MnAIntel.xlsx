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ydocs.msc.com/personal/marco_conte_medlog_com/Documents/Desktop/Personal/MnA Intelligence/"/>
    </mc:Choice>
  </mc:AlternateContent>
  <xr:revisionPtr revIDLastSave="109" documentId="11_5AF7DD1D0ED89E4E2BBF753C989F129E8E98ABD1" xr6:coauthVersionLast="47" xr6:coauthVersionMax="47" xr10:uidLastSave="{A11B0C1E-3B9D-4327-B485-18FAC63AA8F3}"/>
  <bookViews>
    <workbookView xWindow="-98" yWindow="-98" windowWidth="19396" windowHeight="11475" tabRatio="500" activeTab="1" xr2:uid="{00000000-000D-0000-FFFF-FFFF00000000}"/>
  </bookViews>
  <sheets>
    <sheet name="Disclaimer" sheetId="3" r:id="rId1"/>
    <sheet name="P&amp;L &amp; Normalisation" sheetId="1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1" l="1"/>
  <c r="B39" i="1"/>
  <c r="B38" i="1"/>
  <c r="B37" i="1"/>
  <c r="D31" i="1"/>
  <c r="D30" i="1"/>
  <c r="D29" i="1"/>
  <c r="D28" i="1"/>
  <c r="D27" i="1"/>
  <c r="D26" i="1"/>
  <c r="D20" i="1"/>
  <c r="D19" i="1"/>
  <c r="D18" i="1"/>
  <c r="D15" i="1"/>
  <c r="D16" i="1"/>
  <c r="B33" i="1"/>
  <c r="D33" i="1" s="1"/>
  <c r="B16" i="1"/>
  <c r="B23" i="1" l="1"/>
  <c r="B40" i="1" s="1"/>
  <c r="B41" i="1" s="1"/>
  <c r="D21" i="1" l="1"/>
  <c r="D23" i="1" l="1"/>
  <c r="B34" i="1"/>
  <c r="D34" i="1" l="1"/>
  <c r="B42" i="1"/>
  <c r="B43" i="1" s="1"/>
</calcChain>
</file>

<file path=xl/sharedStrings.xml><?xml version="1.0" encoding="utf-8"?>
<sst xmlns="http://schemas.openxmlformats.org/spreadsheetml/2006/main" count="73" uniqueCount="70">
  <si>
    <t>M&amp;A INTELLIGENCE</t>
  </si>
  <si>
    <t xml:space="preserve">  EBITDA Normalisation Calculator  ·  mnaintel.com</t>
  </si>
  <si>
    <t xml:space="preserve">  Blue cells = your inputs  ·  Black cells = formulas (do not edit)  ·  For guidance see Sheet 3</t>
  </si>
  <si>
    <t>A.  COMPANY DETAILS</t>
  </si>
  <si>
    <t>Company name</t>
  </si>
  <si>
    <t>Your Company Ltd</t>
  </si>
  <si>
    <t>Reporting currency</t>
  </si>
  <si>
    <t>Financial year end</t>
  </si>
  <si>
    <t>31 Dec 2024</t>
  </si>
  <si>
    <t>Sector / Industry</t>
  </si>
  <si>
    <t>Transport &amp; Logistics</t>
  </si>
  <si>
    <t>% Rev</t>
  </si>
  <si>
    <t>Notes</t>
  </si>
  <si>
    <t xml:space="preserve">  Revenue</t>
  </si>
  <si>
    <t>Total net sales / turnover</t>
  </si>
  <si>
    <t xml:space="preserve">  Cost of Goods Sold</t>
  </si>
  <si>
    <t>Direct costs of delivering revenue</t>
  </si>
  <si>
    <t>Gross Profit</t>
  </si>
  <si>
    <t xml:space="preserve">  Sales &amp; Marketing</t>
  </si>
  <si>
    <t xml:space="preserve">  General &amp; Administrative</t>
  </si>
  <si>
    <t xml:space="preserve">  Other Operating Expenses</t>
  </si>
  <si>
    <t>Total Operating Expenses</t>
  </si>
  <si>
    <t>Sum of the three lines above</t>
  </si>
  <si>
    <t>Gross Profit − Total OpEx</t>
  </si>
  <si>
    <t>Why this add-back?</t>
  </si>
  <si>
    <t xml:space="preserve">  + Owner salary above market rate</t>
  </si>
  <si>
    <t xml:space="preserve">  + Personal expenses in P&amp;L</t>
  </si>
  <si>
    <t>Car lease, travel, meals not related to operations</t>
  </si>
  <si>
    <t xml:space="preserve">  + One-off legal / restructuring costs</t>
  </si>
  <si>
    <t>Non-recurring; will not repeat post-acquisition</t>
  </si>
  <si>
    <t xml:space="preserve">  + Excess rent to owner-related property</t>
  </si>
  <si>
    <t>Rent above arm's-length market comparable</t>
  </si>
  <si>
    <t xml:space="preserve">  + Depreciation &amp; Amortisation (D&amp;A)</t>
  </si>
  <si>
    <t>Add back to get to EBITDA from EBIT</t>
  </si>
  <si>
    <t xml:space="preserve">  + Other adjustments  (enter if any)</t>
  </si>
  <si>
    <t>Any other non-recurring or non-arm's-length items</t>
  </si>
  <si>
    <t>Total Add-backs</t>
  </si>
  <si>
    <t>D.  MARGIN SUMMARY</t>
  </si>
  <si>
    <t>Revenue</t>
  </si>
  <si>
    <t>Gross Margin %</t>
  </si>
  <si>
    <t>Reported EBITDA</t>
  </si>
  <si>
    <t>Reported EBITDA Margin %</t>
  </si>
  <si>
    <t>Adjusted EBITDA</t>
  </si>
  <si>
    <t>Adjusted EBITDA Margin %</t>
  </si>
  <si>
    <t>CONFIDENTIAL · NOT FOR DISTRIBUTION · © 2026 M&amp;A Intelligence · mnaintel.com · Not financial advice</t>
  </si>
  <si>
    <t>M&amp;A INTELLIGENCE  ·  How to use this calculator</t>
  </si>
  <si>
    <t>STEP 1  —  Sheet 1: P&amp;L &amp; Normalisation</t>
  </si>
  <si>
    <t>The Adjusted EBITDA calculates automatically.</t>
  </si>
  <si>
    <t>COLOUR CODING</t>
  </si>
  <si>
    <t>Blue text   =  input cells — the only cells you should edit.</t>
  </si>
  <si>
    <t>Black text  =  formula cells — do not edit.</t>
  </si>
  <si>
    <t>Green text  =  cross-sheet links — do not edit.</t>
  </si>
  <si>
    <t>Yellow background  =  key output cells.</t>
  </si>
  <si>
    <t>IMPORTANT DISCLAIMER</t>
  </si>
  <si>
    <t>This calculator is provided for indicative and educational purposes only.</t>
  </si>
  <si>
    <t>© 2026 M&amp;A Intelligence. All rights reserved.</t>
  </si>
  <si>
    <t>This document is confidential and intended solely for the recipient.</t>
  </si>
  <si>
    <t>Not for distribution, reproduction, or publication without written consent.</t>
  </si>
  <si>
    <t>Contact:   deals@news.mnaintel.com</t>
  </si>
  <si>
    <t>Subscribe: mnaintel.com</t>
  </si>
  <si>
    <t>CONFIDENTIAL · NOT FOR DISTRIBUTION · © 2026 M&amp;A Intelligence · mnaintel.com</t>
  </si>
  <si>
    <t>USD</t>
  </si>
  <si>
    <t>B.  Income Statement (USDk)</t>
  </si>
  <si>
    <t>EBITDA (Reported)</t>
  </si>
  <si>
    <t>C.  Normalisation add-backs (USDk)</t>
  </si>
  <si>
    <t>Enter your Revenue, COGS, and Operating Expenses in the BLUE cells. In Section C, add back any non-recurring or owner-specific costs.</t>
  </si>
  <si>
    <t>Common add-backs: owner salary above market, personal expenses, one-off legal costs, excess rent on owner property, D&amp;A.</t>
  </si>
  <si>
    <t>It does not constitute financial advice, a formal valuation, or a recommendation to buy or sell any business or security.</t>
  </si>
  <si>
    <t>Always engage a qualified M&amp;A advisor and independent valuation professional before initiating or responding to any transaction.</t>
  </si>
  <si>
    <t>Owner paid USD 280k; market CEO = USD 200k → add back USD 80k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</si>
</sst>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;\(0.0%\);\-"/>
  </numFmts>
  <fonts count="18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sz val="9"/>
      <color rgb="FFC8BEB0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sz val="10"/>
      <color rgb="FF0F1F3D"/>
      <name val="Arial"/>
      <family val="2"/>
    </font>
    <font>
      <i/>
      <sz val="9"/>
      <color rgb="FF888888"/>
      <name val="Arial"/>
      <family val="2"/>
    </font>
    <font>
      <sz val="10"/>
      <color rgb="FF111111"/>
      <name val="Arial"/>
      <family val="2"/>
    </font>
    <font>
      <b/>
      <sz val="10"/>
      <color rgb="FF0F1F3D"/>
      <name val="Arial"/>
      <family val="2"/>
    </font>
    <font>
      <b/>
      <sz val="10"/>
      <color rgb="FF111111"/>
      <name val="Arial"/>
      <family val="2"/>
    </font>
    <font>
      <b/>
      <sz val="12"/>
      <color rgb="FFFFFFFF"/>
      <name val="Arial"/>
      <family val="2"/>
    </font>
    <font>
      <sz val="10"/>
      <color rgb="FFFFFFFF"/>
      <name val="Arial"/>
      <family val="2"/>
    </font>
    <font>
      <i/>
      <sz val="8"/>
      <color rgb="FFAAAAAA"/>
      <name val="Arial"/>
      <family val="2"/>
    </font>
    <font>
      <b/>
      <sz val="14"/>
      <color rgb="FFFFFFFF"/>
      <name val="Arial"/>
      <family val="2"/>
    </font>
    <font>
      <sz val="10"/>
      <color rgb="FF333333"/>
      <name val="Arial"/>
      <family val="2"/>
    </font>
    <font>
      <sz val="10"/>
      <color rgb="FF666666"/>
      <name val="Arial"/>
      <family val="2"/>
    </font>
    <font>
      <sz val="10"/>
      <color rgb="FF0000FF"/>
      <name val="Arial"/>
      <family val="2"/>
    </font>
    <font>
      <sz val="11"/>
      <color rgb="FF0000FF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F1F3D"/>
        <bgColor rgb="FF1B2F52"/>
      </patternFill>
    </fill>
    <fill>
      <patternFill patternType="solid">
        <fgColor rgb="FF8B1A1A"/>
        <bgColor rgb="FF800000"/>
      </patternFill>
    </fill>
    <fill>
      <patternFill patternType="solid">
        <fgColor rgb="FFF8F6F2"/>
        <bgColor rgb="FFFFFFFF"/>
      </patternFill>
    </fill>
    <fill>
      <patternFill patternType="solid">
        <fgColor rgb="FF1B2F52"/>
        <bgColor rgb="FF0F1F3D"/>
      </patternFill>
    </fill>
    <fill>
      <patternFill patternType="solid">
        <fgColor rgb="FFEAE4D8"/>
        <bgColor rgb="FFFFF3CD"/>
      </patternFill>
    </fill>
    <fill>
      <patternFill patternType="solid">
        <fgColor rgb="FFFFF3CD"/>
        <bgColor rgb="FFF8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0" fillId="3" borderId="0" xfId="0" applyFill="1"/>
    <xf numFmtId="0" fontId="0" fillId="3" borderId="0" xfId="0" applyFill="1"/>
    <xf numFmtId="0" fontId="4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5" fontId="7" fillId="0" borderId="0" xfId="0" applyNumberFormat="1" applyFont="1" applyAlignment="1">
      <alignment horizontal="right" vertical="center"/>
    </xf>
    <xf numFmtId="0" fontId="8" fillId="6" borderId="0" xfId="0" applyFont="1" applyFill="1" applyAlignment="1">
      <alignment horizontal="left" vertical="center"/>
    </xf>
    <xf numFmtId="164" fontId="9" fillId="6" borderId="0" xfId="0" applyNumberFormat="1" applyFont="1" applyFill="1" applyAlignment="1">
      <alignment horizontal="right" vertical="center"/>
    </xf>
    <xf numFmtId="165" fontId="7" fillId="6" borderId="0" xfId="0" applyNumberFormat="1" applyFont="1" applyFill="1" applyAlignment="1">
      <alignment horizontal="right" vertical="center"/>
    </xf>
    <xf numFmtId="164" fontId="9" fillId="7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right" vertical="center"/>
    </xf>
    <xf numFmtId="165" fontId="11" fillId="2" borderId="0" xfId="0" applyNumberFormat="1" applyFont="1" applyFill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0" fontId="8" fillId="7" borderId="0" xfId="0" applyFont="1" applyFill="1" applyAlignment="1">
      <alignment horizontal="left" vertical="center"/>
    </xf>
    <xf numFmtId="165" fontId="9" fillId="7" borderId="0" xfId="0" applyNumberFormat="1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49" fontId="16" fillId="0" borderId="0" xfId="0" applyNumberFormat="1" applyFont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0" fontId="17" fillId="0" borderId="0" xfId="0" applyFont="1"/>
    <xf numFmtId="0" fontId="4" fillId="3" borderId="0" xfId="0" applyFont="1" applyFill="1" applyAlignment="1">
      <alignment horizontal="right" vertical="center" wrapText="1"/>
    </xf>
    <xf numFmtId="0" fontId="4" fillId="5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165" fontId="9" fillId="6" borderId="0" xfId="0" applyNumberFormat="1" applyFont="1" applyFill="1" applyAlignment="1">
      <alignment horizontal="right" vertical="center"/>
    </xf>
    <xf numFmtId="0" fontId="1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111111"/>
      <rgbColor rgb="FF808000"/>
      <rgbColor rgb="FF800080"/>
      <rgbColor rgb="FF008080"/>
      <rgbColor rgb="FFC8BEB0"/>
      <rgbColor rgb="FF888888"/>
      <rgbColor rgb="FF9999FF"/>
      <rgbColor rgb="FF993366"/>
      <rgbColor rgb="FFFFF3CD"/>
      <rgbColor rgb="FFF8F6F2"/>
      <rgbColor rgb="FF660066"/>
      <rgbColor rgb="FFFF8080"/>
      <rgbColor rgb="FF0055CC"/>
      <rgbColor rgb="FFD8D0C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E4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B2F52"/>
      <rgbColor rgb="FF339966"/>
      <rgbColor rgb="FF0F1F3D"/>
      <rgbColor rgb="FF444444"/>
      <rgbColor rgb="FF8B1A1A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7"/>
  <sheetViews>
    <sheetView showGridLines="0" zoomScaleNormal="100" workbookViewId="0"/>
  </sheetViews>
  <sheetFormatPr defaultColWidth="8.6640625" defaultRowHeight="14.25" x14ac:dyDescent="0.45"/>
  <cols>
    <col min="1" max="1" width="125" customWidth="1"/>
  </cols>
  <sheetData>
    <row r="1" spans="1:1" ht="9.75" customHeight="1" x14ac:dyDescent="0.45"/>
    <row r="2" spans="1:1" ht="36" customHeight="1" x14ac:dyDescent="0.45">
      <c r="A2" s="34" t="s">
        <v>45</v>
      </c>
    </row>
    <row r="3" spans="1:1" ht="3.75" customHeight="1" x14ac:dyDescent="0.45">
      <c r="A3" s="5"/>
    </row>
    <row r="4" spans="1:1" ht="7.5" customHeight="1" x14ac:dyDescent="0.45">
      <c r="A4" s="22"/>
    </row>
    <row r="5" spans="1:1" ht="19.5" customHeight="1" x14ac:dyDescent="0.45">
      <c r="A5" s="23" t="s">
        <v>46</v>
      </c>
    </row>
    <row r="6" spans="1:1" ht="19.5" customHeight="1" x14ac:dyDescent="0.45">
      <c r="A6" s="22" t="s">
        <v>65</v>
      </c>
    </row>
    <row r="7" spans="1:1" ht="19.5" customHeight="1" x14ac:dyDescent="0.45">
      <c r="A7" s="22" t="s">
        <v>66</v>
      </c>
    </row>
    <row r="8" spans="1:1" ht="19.5" customHeight="1" x14ac:dyDescent="0.45">
      <c r="A8" s="22" t="s">
        <v>47</v>
      </c>
    </row>
    <row r="9" spans="1:1" ht="7.5" customHeight="1" x14ac:dyDescent="0.45">
      <c r="A9" s="22"/>
    </row>
    <row r="10" spans="1:1" ht="19.5" customHeight="1" x14ac:dyDescent="0.45">
      <c r="A10" s="23" t="s">
        <v>48</v>
      </c>
    </row>
    <row r="11" spans="1:1" ht="19.5" customHeight="1" x14ac:dyDescent="0.45">
      <c r="A11" s="22" t="s">
        <v>49</v>
      </c>
    </row>
    <row r="12" spans="1:1" ht="19.5" customHeight="1" x14ac:dyDescent="0.45">
      <c r="A12" s="22" t="s">
        <v>50</v>
      </c>
    </row>
    <row r="13" spans="1:1" ht="19.5" customHeight="1" x14ac:dyDescent="0.45">
      <c r="A13" s="22" t="s">
        <v>51</v>
      </c>
    </row>
    <row r="14" spans="1:1" ht="19.5" customHeight="1" x14ac:dyDescent="0.45">
      <c r="A14" s="22" t="s">
        <v>52</v>
      </c>
    </row>
    <row r="15" spans="1:1" ht="7.5" customHeight="1" x14ac:dyDescent="0.45">
      <c r="A15" s="22"/>
    </row>
    <row r="16" spans="1:1" ht="19.5" customHeight="1" x14ac:dyDescent="0.45">
      <c r="A16" s="23" t="s">
        <v>53</v>
      </c>
    </row>
    <row r="17" spans="1:1" ht="19.5" customHeight="1" x14ac:dyDescent="0.45">
      <c r="A17" s="22" t="s">
        <v>54</v>
      </c>
    </row>
    <row r="18" spans="1:1" ht="19.5" customHeight="1" x14ac:dyDescent="0.45">
      <c r="A18" s="22" t="s">
        <v>67</v>
      </c>
    </row>
    <row r="19" spans="1:1" ht="19.5" customHeight="1" x14ac:dyDescent="0.45">
      <c r="A19" s="22" t="s">
        <v>68</v>
      </c>
    </row>
    <row r="20" spans="1:1" ht="19.5" customHeight="1" x14ac:dyDescent="0.45">
      <c r="A20" s="22"/>
    </row>
    <row r="21" spans="1:1" ht="19.5" customHeight="1" x14ac:dyDescent="0.45">
      <c r="A21" s="24" t="s">
        <v>55</v>
      </c>
    </row>
    <row r="22" spans="1:1" ht="19.5" customHeight="1" x14ac:dyDescent="0.45">
      <c r="A22" s="24" t="s">
        <v>56</v>
      </c>
    </row>
    <row r="23" spans="1:1" ht="19.5" customHeight="1" x14ac:dyDescent="0.45">
      <c r="A23" s="24" t="s">
        <v>57</v>
      </c>
    </row>
    <row r="24" spans="1:1" ht="7.5" customHeight="1" x14ac:dyDescent="0.45">
      <c r="A24" s="22"/>
    </row>
    <row r="25" spans="1:1" ht="19.5" customHeight="1" x14ac:dyDescent="0.45">
      <c r="A25" s="22" t="s">
        <v>58</v>
      </c>
    </row>
    <row r="26" spans="1:1" ht="19.5" customHeight="1" x14ac:dyDescent="0.45">
      <c r="A26" s="22" t="s">
        <v>59</v>
      </c>
    </row>
    <row r="27" spans="1:1" ht="15.75" customHeight="1" x14ac:dyDescent="0.45">
      <c r="A27" s="21" t="s">
        <v>60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showGridLines="0" tabSelected="1" zoomScale="80" zoomScaleNormal="80" workbookViewId="0">
      <pane ySplit="6" topLeftCell="A7" activePane="bottomLeft" state="frozen"/>
      <selection pane="bottomLeft"/>
    </sheetView>
  </sheetViews>
  <sheetFormatPr defaultColWidth="8.6640625" defaultRowHeight="14.25" x14ac:dyDescent="0.45"/>
  <cols>
    <col min="1" max="1" width="34" customWidth="1"/>
    <col min="2" max="2" width="18" customWidth="1"/>
    <col min="3" max="3" width="3.1328125" customWidth="1"/>
    <col min="4" max="4" width="16" customWidth="1"/>
    <col min="5" max="5" width="2" customWidth="1"/>
    <col min="6" max="6" width="30" customWidth="1"/>
    <col min="7" max="7" width="1" customWidth="1"/>
  </cols>
  <sheetData>
    <row r="1" spans="1:6" ht="9.75" customHeight="1" x14ac:dyDescent="0.45"/>
    <row r="2" spans="1:6" ht="36" customHeight="1" x14ac:dyDescent="0.45">
      <c r="A2" s="30" t="s">
        <v>0</v>
      </c>
      <c r="B2" s="30"/>
      <c r="C2" s="30"/>
      <c r="D2" s="30"/>
      <c r="E2" s="30"/>
      <c r="F2" s="30"/>
    </row>
    <row r="3" spans="1:6" ht="15.75" customHeight="1" x14ac:dyDescent="0.45">
      <c r="A3" s="31" t="s">
        <v>1</v>
      </c>
      <c r="B3" s="31"/>
      <c r="C3" s="31"/>
      <c r="D3" s="31"/>
      <c r="E3" s="31"/>
      <c r="F3" s="31"/>
    </row>
    <row r="4" spans="1:6" ht="3.75" customHeight="1" x14ac:dyDescent="0.45">
      <c r="A4" s="4"/>
      <c r="B4" s="4"/>
      <c r="C4" s="4"/>
      <c r="D4" s="4"/>
      <c r="E4" s="4"/>
      <c r="F4" s="4"/>
    </row>
    <row r="5" spans="1:6" ht="15.75" customHeight="1" x14ac:dyDescent="0.45">
      <c r="A5" s="32" t="s">
        <v>2</v>
      </c>
      <c r="B5" s="32"/>
      <c r="C5" s="32"/>
      <c r="D5" s="32"/>
      <c r="E5" s="32"/>
      <c r="F5" s="32"/>
    </row>
    <row r="6" spans="1:6" ht="6" customHeight="1" x14ac:dyDescent="0.45"/>
    <row r="7" spans="1:6" ht="18" customHeight="1" x14ac:dyDescent="0.45">
      <c r="A7" s="3" t="s">
        <v>3</v>
      </c>
      <c r="B7" s="3"/>
      <c r="C7" s="3"/>
      <c r="D7" s="3"/>
      <c r="E7" s="3"/>
      <c r="F7" s="3"/>
    </row>
    <row r="8" spans="1:6" ht="18" customHeight="1" x14ac:dyDescent="0.45">
      <c r="A8" s="7" t="s">
        <v>4</v>
      </c>
      <c r="B8" s="25" t="s">
        <v>5</v>
      </c>
    </row>
    <row r="9" spans="1:6" ht="18" customHeight="1" x14ac:dyDescent="0.45">
      <c r="A9" s="7" t="s">
        <v>6</v>
      </c>
      <c r="B9" s="25" t="s">
        <v>61</v>
      </c>
    </row>
    <row r="10" spans="1:6" ht="18" customHeight="1" x14ac:dyDescent="0.45">
      <c r="A10" s="7" t="s">
        <v>7</v>
      </c>
      <c r="B10" s="25" t="s">
        <v>8</v>
      </c>
    </row>
    <row r="11" spans="1:6" ht="18" customHeight="1" x14ac:dyDescent="0.45">
      <c r="A11" s="7" t="s">
        <v>9</v>
      </c>
      <c r="B11" s="25" t="s">
        <v>10</v>
      </c>
    </row>
    <row r="12" spans="1:6" ht="18" customHeight="1" x14ac:dyDescent="0.45"/>
    <row r="13" spans="1:6" ht="18" customHeight="1" x14ac:dyDescent="0.45">
      <c r="A13" s="3" t="s">
        <v>62</v>
      </c>
      <c r="B13" s="3"/>
      <c r="C13" s="3"/>
      <c r="D13" s="29" t="s">
        <v>11</v>
      </c>
      <c r="F13" s="6" t="s">
        <v>12</v>
      </c>
    </row>
    <row r="14" spans="1:6" ht="18" customHeight="1" x14ac:dyDescent="0.45">
      <c r="A14" s="7" t="s">
        <v>13</v>
      </c>
      <c r="B14" s="26">
        <v>2500</v>
      </c>
      <c r="F14" s="8" t="s">
        <v>14</v>
      </c>
    </row>
    <row r="15" spans="1:6" ht="18" customHeight="1" x14ac:dyDescent="0.45">
      <c r="A15" s="7" t="s">
        <v>15</v>
      </c>
      <c r="B15" s="26">
        <v>-1400</v>
      </c>
      <c r="D15" s="9">
        <f>IFERROR(B15/B$14,"-")</f>
        <v>-0.56000000000000005</v>
      </c>
      <c r="F15" s="8" t="s">
        <v>16</v>
      </c>
    </row>
    <row r="16" spans="1:6" ht="18" customHeight="1" x14ac:dyDescent="0.45">
      <c r="A16" s="10" t="s">
        <v>17</v>
      </c>
      <c r="B16" s="11">
        <f>+B14+B15</f>
        <v>1100</v>
      </c>
      <c r="D16" s="33">
        <f>IFERROR(B16/B$14,"-")</f>
        <v>0.44</v>
      </c>
      <c r="F16" s="8"/>
    </row>
    <row r="17" spans="1:6" ht="4.05" customHeight="1" x14ac:dyDescent="0.45"/>
    <row r="18" spans="1:6" ht="18" customHeight="1" x14ac:dyDescent="0.45">
      <c r="A18" s="7" t="s">
        <v>18</v>
      </c>
      <c r="B18" s="26">
        <v>-300</v>
      </c>
      <c r="D18" s="9">
        <f t="shared" ref="D18:D21" si="0">IFERROR(B18/B$14,"-")</f>
        <v>-0.12</v>
      </c>
    </row>
    <row r="19" spans="1:6" ht="18" customHeight="1" x14ac:dyDescent="0.45">
      <c r="A19" s="7" t="s">
        <v>19</v>
      </c>
      <c r="B19" s="26">
        <v>-300</v>
      </c>
      <c r="D19" s="9">
        <f t="shared" si="0"/>
        <v>-0.12</v>
      </c>
    </row>
    <row r="20" spans="1:6" ht="18" customHeight="1" x14ac:dyDescent="0.45">
      <c r="A20" s="7" t="s">
        <v>20</v>
      </c>
      <c r="B20" s="26">
        <v>-100</v>
      </c>
      <c r="D20" s="9">
        <f t="shared" si="0"/>
        <v>-0.04</v>
      </c>
    </row>
    <row r="21" spans="1:6" ht="18" customHeight="1" x14ac:dyDescent="0.45">
      <c r="A21" s="10" t="s">
        <v>21</v>
      </c>
      <c r="B21" s="11">
        <f>+SUM(B18:B20)</f>
        <v>-700</v>
      </c>
      <c r="D21" s="12">
        <f t="shared" si="0"/>
        <v>-0.28000000000000003</v>
      </c>
      <c r="F21" s="8" t="s">
        <v>22</v>
      </c>
    </row>
    <row r="22" spans="1:6" ht="4.05" customHeight="1" x14ac:dyDescent="0.45"/>
    <row r="23" spans="1:6" ht="18" customHeight="1" x14ac:dyDescent="0.45">
      <c r="A23" s="10" t="s">
        <v>63</v>
      </c>
      <c r="B23" s="13">
        <f>+B21+B16</f>
        <v>400</v>
      </c>
      <c r="D23" s="33">
        <f>IFERROR(B23/B$14,"-")</f>
        <v>0.16</v>
      </c>
      <c r="F23" s="8" t="s">
        <v>23</v>
      </c>
    </row>
    <row r="24" spans="1:6" ht="18" customHeight="1" x14ac:dyDescent="0.45"/>
    <row r="25" spans="1:6" ht="18" customHeight="1" x14ac:dyDescent="0.45">
      <c r="A25" s="2" t="s">
        <v>64</v>
      </c>
      <c r="B25" s="2"/>
      <c r="C25" s="2"/>
      <c r="D25" s="28" t="s">
        <v>11</v>
      </c>
      <c r="F25" s="14" t="s">
        <v>24</v>
      </c>
    </row>
    <row r="26" spans="1:6" ht="18" customHeight="1" x14ac:dyDescent="0.45">
      <c r="A26" s="7" t="s">
        <v>25</v>
      </c>
      <c r="B26" s="26">
        <v>80</v>
      </c>
      <c r="D26" s="9">
        <f>IFERROR(B26/B$14,"-")</f>
        <v>3.2000000000000001E-2</v>
      </c>
      <c r="F26" s="8" t="s">
        <v>69</v>
      </c>
    </row>
    <row r="27" spans="1:6" ht="18" customHeight="1" x14ac:dyDescent="0.45">
      <c r="A27" s="7" t="s">
        <v>26</v>
      </c>
      <c r="B27" s="26">
        <v>50</v>
      </c>
      <c r="D27" s="9">
        <f t="shared" ref="D27:D34" si="1">IFERROR(B27/B$14,"-")</f>
        <v>0.02</v>
      </c>
      <c r="F27" s="8" t="s">
        <v>27</v>
      </c>
    </row>
    <row r="28" spans="1:6" ht="18" customHeight="1" x14ac:dyDescent="0.45">
      <c r="A28" s="7" t="s">
        <v>28</v>
      </c>
      <c r="B28" s="26">
        <v>25</v>
      </c>
      <c r="D28" s="9">
        <f t="shared" si="1"/>
        <v>0.01</v>
      </c>
      <c r="F28" s="8" t="s">
        <v>29</v>
      </c>
    </row>
    <row r="29" spans="1:6" ht="18" customHeight="1" x14ac:dyDescent="0.45">
      <c r="A29" s="7" t="s">
        <v>30</v>
      </c>
      <c r="B29" s="26">
        <v>35</v>
      </c>
      <c r="D29" s="9">
        <f t="shared" si="1"/>
        <v>1.4E-2</v>
      </c>
      <c r="F29" s="8" t="s">
        <v>31</v>
      </c>
    </row>
    <row r="30" spans="1:6" ht="18" customHeight="1" x14ac:dyDescent="0.45">
      <c r="A30" s="7" t="s">
        <v>32</v>
      </c>
      <c r="B30" s="26">
        <v>45</v>
      </c>
      <c r="D30" s="9">
        <f t="shared" si="1"/>
        <v>1.7999999999999999E-2</v>
      </c>
      <c r="F30" s="8" t="s">
        <v>33</v>
      </c>
    </row>
    <row r="31" spans="1:6" ht="18" customHeight="1" x14ac:dyDescent="0.45">
      <c r="A31" s="7" t="s">
        <v>34</v>
      </c>
      <c r="B31" s="26">
        <v>-100</v>
      </c>
      <c r="D31" s="9">
        <f t="shared" si="1"/>
        <v>-0.04</v>
      </c>
      <c r="F31" s="8" t="s">
        <v>35</v>
      </c>
    </row>
    <row r="32" spans="1:6" ht="18" customHeight="1" x14ac:dyDescent="0.45">
      <c r="B32" s="27"/>
    </row>
    <row r="33" spans="1:6" ht="18" customHeight="1" x14ac:dyDescent="0.45">
      <c r="A33" s="10" t="s">
        <v>36</v>
      </c>
      <c r="B33" s="11">
        <f>SUM(B26:B32)</f>
        <v>135</v>
      </c>
      <c r="D33" s="12">
        <f t="shared" si="1"/>
        <v>5.3999999999999999E-2</v>
      </c>
    </row>
    <row r="34" spans="1:6" ht="24" customHeight="1" x14ac:dyDescent="0.45">
      <c r="A34" s="15" t="s">
        <v>42</v>
      </c>
      <c r="B34" s="16">
        <f>B23+B33</f>
        <v>535</v>
      </c>
      <c r="D34" s="17">
        <f t="shared" si="1"/>
        <v>0.214</v>
      </c>
    </row>
    <row r="35" spans="1:6" ht="18" customHeight="1" x14ac:dyDescent="0.45"/>
    <row r="36" spans="1:6" ht="18" customHeight="1" x14ac:dyDescent="0.45">
      <c r="A36" s="3" t="s">
        <v>37</v>
      </c>
      <c r="B36" s="3"/>
      <c r="C36" s="3"/>
      <c r="D36" s="3"/>
    </row>
    <row r="37" spans="1:6" ht="18" customHeight="1" x14ac:dyDescent="0.45">
      <c r="A37" s="7" t="s">
        <v>38</v>
      </c>
      <c r="B37" s="18">
        <f>B14</f>
        <v>2500</v>
      </c>
    </row>
    <row r="38" spans="1:6" ht="18" customHeight="1" x14ac:dyDescent="0.45">
      <c r="A38" s="7" t="s">
        <v>17</v>
      </c>
      <c r="B38" s="18">
        <f>B16</f>
        <v>1100</v>
      </c>
    </row>
    <row r="39" spans="1:6" ht="18" customHeight="1" x14ac:dyDescent="0.45">
      <c r="A39" s="7" t="s">
        <v>39</v>
      </c>
      <c r="B39" s="9">
        <f>+B38/B$37</f>
        <v>0.44</v>
      </c>
    </row>
    <row r="40" spans="1:6" ht="18" customHeight="1" x14ac:dyDescent="0.45">
      <c r="A40" s="7" t="s">
        <v>40</v>
      </c>
      <c r="B40" s="18">
        <f>+B23</f>
        <v>400</v>
      </c>
    </row>
    <row r="41" spans="1:6" ht="18" customHeight="1" x14ac:dyDescent="0.45">
      <c r="A41" s="7" t="s">
        <v>41</v>
      </c>
      <c r="B41" s="9">
        <f>+B40/B$37</f>
        <v>0.16</v>
      </c>
    </row>
    <row r="42" spans="1:6" ht="18" customHeight="1" x14ac:dyDescent="0.45">
      <c r="A42" s="19" t="s">
        <v>42</v>
      </c>
      <c r="B42" s="13">
        <f>+B34</f>
        <v>535</v>
      </c>
    </row>
    <row r="43" spans="1:6" ht="18" customHeight="1" x14ac:dyDescent="0.45">
      <c r="A43" s="19" t="s">
        <v>43</v>
      </c>
      <c r="B43" s="20">
        <f>+B42/B$37</f>
        <v>0.214</v>
      </c>
    </row>
    <row r="44" spans="1:6" ht="18" customHeight="1" x14ac:dyDescent="0.45"/>
    <row r="45" spans="1:6" ht="18" customHeight="1" x14ac:dyDescent="0.45"/>
    <row r="46" spans="1:6" ht="15.75" customHeight="1" x14ac:dyDescent="0.45">
      <c r="A46" s="1" t="s">
        <v>44</v>
      </c>
      <c r="B46" s="1"/>
      <c r="C46" s="1"/>
      <c r="D46" s="1"/>
      <c r="E46" s="1"/>
      <c r="F46" s="1"/>
    </row>
    <row r="47" spans="1:6" ht="18" customHeight="1" x14ac:dyDescent="0.45"/>
    <row r="48" spans="1:6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</sheetData>
  <mergeCells count="6">
    <mergeCell ref="A13:C13"/>
    <mergeCell ref="A25:C25"/>
    <mergeCell ref="A36:D36"/>
    <mergeCell ref="A46:F46"/>
    <mergeCell ref="A4:F4"/>
    <mergeCell ref="A7:F7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Sensitivity: Internal</oddFooter>
  </headerFooter>
  <ignoredErrors>
    <ignoredError sqref="B40 B42" formula="1"/>
  </ignoredErrors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Disclaimer</vt:lpstr>
      <vt:lpstr>P&amp;L &amp; Normalisation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Marco Conte (MEDLOG GENEVA)</cp:lastModifiedBy>
  <cp:revision>0</cp:revision>
  <dcterms:created xsi:type="dcterms:W3CDTF">2026-03-30T21:28:59Z</dcterms:created>
  <dcterms:modified xsi:type="dcterms:W3CDTF">2026-03-30T21:47:07Z</dcterms:modified>
  <dc:language>en-US</dc:language>
</cp:coreProperties>
</file>